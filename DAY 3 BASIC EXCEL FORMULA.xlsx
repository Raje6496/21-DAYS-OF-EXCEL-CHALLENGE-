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8_{1241D32E-4436-4662-B788-DFAE187C7F0B}" xr6:coauthVersionLast="47" xr6:coauthVersionMax="47" xr10:uidLastSave="{00000000-0000-0000-0000-000000000000}"/>
  <bookViews>
    <workbookView xWindow="-108" yWindow="-108" windowWidth="23256" windowHeight="12456" xr2:uid="{B67B6F6F-8C03-4B3E-9717-E0D6C460524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 Management Data_929f6d9e-75be-44bb-8ec4-2c256b226f41" name="Employee Management Data" connection="Query - Employee Management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2" l="1"/>
  <c r="I9" i="2"/>
  <c r="I8" i="2"/>
  <c r="I7" i="2"/>
  <c r="I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3FE455-C556-448B-BE93-C67C40977BEF}" name="Query - Employee Management Data" description="Connection to the 'Employee Management Data' query in the workbook." type="100" refreshedVersion="8" minRefreshableVersion="5">
    <extLst>
      <ext xmlns:x15="http://schemas.microsoft.com/office/spreadsheetml/2010/11/main" uri="{DE250136-89BD-433C-8126-D09CA5730AF9}">
        <x15:connection id="ff4b0a7f-e622-434a-8c0d-1e507540303e"/>
      </ext>
    </extLst>
  </connection>
  <connection id="2" xr16:uid="{E846F24A-F424-418A-9075-EA1AA27A49E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<sst xmlns="http://schemas.openxmlformats.org/spreadsheetml/2006/main" count="213" uniqueCount="180">
  <si>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</si>
  <si>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</si>
  <si>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</si>
  <si>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</si>
  <si>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</si>
  <si>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</si>
  <si>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</si>
  <si>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</si>
  <si>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</si>
  <si>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</si>
  <si>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15-05-2023</t>
  </si>
  <si>
    <t>S1002</t>
  </si>
  <si>
    <t>Jane Doe</t>
  </si>
  <si>
    <t>Marketing</t>
  </si>
  <si>
    <t>Marketing Specialist</t>
  </si>
  <si>
    <t>20-08-2023</t>
  </si>
  <si>
    <t>S1003</t>
  </si>
  <si>
    <t>Michael Johnson</t>
  </si>
  <si>
    <t>Finance</t>
  </si>
  <si>
    <t>Financial Analyst</t>
  </si>
  <si>
    <t>10-10-2023</t>
  </si>
  <si>
    <t>S1004</t>
  </si>
  <si>
    <t>Emily Brown</t>
  </si>
  <si>
    <t>Sales</t>
  </si>
  <si>
    <t>Sales Representative</t>
  </si>
  <si>
    <t>25-03-2023</t>
  </si>
  <si>
    <t>S1005</t>
  </si>
  <si>
    <t>David Wilson</t>
  </si>
  <si>
    <t>Information Technology</t>
  </si>
  <si>
    <t>IT Specialist</t>
  </si>
  <si>
    <t>12-09-2023</t>
  </si>
  <si>
    <t>S1006</t>
  </si>
  <si>
    <t>Lisa Taylor</t>
  </si>
  <si>
    <t>Operations</t>
  </si>
  <si>
    <t>Operations Manager</t>
  </si>
  <si>
    <t>30-06-2023</t>
  </si>
  <si>
    <t>S1007</t>
  </si>
  <si>
    <t>Daniel Martinez</t>
  </si>
  <si>
    <t>Customer Service</t>
  </si>
  <si>
    <t>Customer Service Representative</t>
  </si>
  <si>
    <t>05-11-2023</t>
  </si>
  <si>
    <t>S1008</t>
  </si>
  <si>
    <t>Sarah Anderson</t>
  </si>
  <si>
    <t>Research and Development</t>
  </si>
  <si>
    <t>R&amp;D Engineer</t>
  </si>
  <si>
    <t>18-04-2023</t>
  </si>
  <si>
    <t>S1009</t>
  </si>
  <si>
    <t>Christopher Thomas</t>
  </si>
  <si>
    <t>Production</t>
  </si>
  <si>
    <t>Production Supervisor</t>
  </si>
  <si>
    <t>22-07-2023</t>
  </si>
  <si>
    <t>S1010</t>
  </si>
  <si>
    <t>Kimberly Garcia</t>
  </si>
  <si>
    <t>Quality Assurance</t>
  </si>
  <si>
    <t>QA Analyst</t>
  </si>
  <si>
    <t>14-02-2023</t>
  </si>
  <si>
    <t>S1011</t>
  </si>
  <si>
    <t>William Hernandez</t>
  </si>
  <si>
    <t>HR Coordinator</t>
  </si>
  <si>
    <t>01-09-2023</t>
  </si>
  <si>
    <t>S1012</t>
  </si>
  <si>
    <t>Melissa Lopez</t>
  </si>
  <si>
    <t>Marketing Manager</t>
  </si>
  <si>
    <t>10-06-2023</t>
  </si>
  <si>
    <t>S1013</t>
  </si>
  <si>
    <t>Richard Perez</t>
  </si>
  <si>
    <t>Finance Manager</t>
  </si>
  <si>
    <t>18-11-2023</t>
  </si>
  <si>
    <t>S1014</t>
  </si>
  <si>
    <t>Jessica Gonzalez</t>
  </si>
  <si>
    <t>Sales Manager</t>
  </si>
  <si>
    <t>03-05-2023</t>
  </si>
  <si>
    <t>S1015</t>
  </si>
  <si>
    <t>Matthew Wilson</t>
  </si>
  <si>
    <t>IT Manager</t>
  </si>
  <si>
    <t>08-08-2023</t>
  </si>
  <si>
    <t>S1016</t>
  </si>
  <si>
    <t>Amanda Martinez</t>
  </si>
  <si>
    <t>Operations Coordinator</t>
  </si>
  <si>
    <t>29-10-2023</t>
  </si>
  <si>
    <t>S1017</t>
  </si>
  <si>
    <t>James Johnson</t>
  </si>
  <si>
    <t>Customer Service Manager</t>
  </si>
  <si>
    <t>12-03-2023</t>
  </si>
  <si>
    <t>S1018</t>
  </si>
  <si>
    <t>Laura Brown</t>
  </si>
  <si>
    <t>R&amp;D Manager</t>
  </si>
  <si>
    <t>25-06-2023</t>
  </si>
  <si>
    <t>S1019</t>
  </si>
  <si>
    <t>Daniel Smith</t>
  </si>
  <si>
    <t>Production Manager</t>
  </si>
  <si>
    <t>30-09-2023</t>
  </si>
  <si>
    <t>S1020</t>
  </si>
  <si>
    <t>Jennifer Davis</t>
  </si>
  <si>
    <t>QA Manager</t>
  </si>
  <si>
    <t>17-01-2023</t>
  </si>
  <si>
    <t>S1021</t>
  </si>
  <si>
    <t>Michael Garcia</t>
  </si>
  <si>
    <t>HR Assistant</t>
  </si>
  <si>
    <t>05-07-2023</t>
  </si>
  <si>
    <t>S1022</t>
  </si>
  <si>
    <t>Amy Hernandez</t>
  </si>
  <si>
    <t>Marketing Coordinator</t>
  </si>
  <si>
    <t>28-04-2023</t>
  </si>
  <si>
    <t>S1023</t>
  </si>
  <si>
    <t>Christopher Rodriguez</t>
  </si>
  <si>
    <t>Senior Financial Analyst</t>
  </si>
  <si>
    <t>12-11-2023</t>
  </si>
  <si>
    <t>S1024</t>
  </si>
  <si>
    <t>Jessica Martinez</t>
  </si>
  <si>
    <t>Senior Sales Representative</t>
  </si>
  <si>
    <t>25-05-2023</t>
  </si>
  <si>
    <t>S1025</t>
  </si>
  <si>
    <t>Senior IT Specialist</t>
  </si>
  <si>
    <t>30-08-2023</t>
  </si>
  <si>
    <t>S1026</t>
  </si>
  <si>
    <t>Sarah Smith</t>
  </si>
  <si>
    <t>Assistant Operations Manager</t>
  </si>
  <si>
    <t>15-10-2023</t>
  </si>
  <si>
    <t>S1027</t>
  </si>
  <si>
    <t>Matthew Johnson</t>
  </si>
  <si>
    <t>Senior Customer Service Representative</t>
  </si>
  <si>
    <t>28-03-2023</t>
  </si>
  <si>
    <t>S1028</t>
  </si>
  <si>
    <t>Emily Davis</t>
  </si>
  <si>
    <t>R&amp;D Technician</t>
  </si>
  <si>
    <t>01-06-2023</t>
  </si>
  <si>
    <t>S1029</t>
  </si>
  <si>
    <t>Daniel Wilson</t>
  </si>
  <si>
    <t>Senior Production Supervisor</t>
  </si>
  <si>
    <t>08-09-2023</t>
  </si>
  <si>
    <t>S1030</t>
  </si>
  <si>
    <t>Jennifer Martinez</t>
  </si>
  <si>
    <t>Senior QA Analyst</t>
  </si>
  <si>
    <t>22-02-2023</t>
  </si>
  <si>
    <t>S1031</t>
  </si>
  <si>
    <t>Michael Smith</t>
  </si>
  <si>
    <t>HR Generalist</t>
  </si>
  <si>
    <t>17-07-2023</t>
  </si>
  <si>
    <t>S1032</t>
  </si>
  <si>
    <t>Jessica Johnson</t>
  </si>
  <si>
    <t>Marketing Assistant</t>
  </si>
  <si>
    <t>10-04-2023</t>
  </si>
  <si>
    <t>S1033</t>
  </si>
  <si>
    <t>David Brown</t>
  </si>
  <si>
    <t>Junior Financial Analyst</t>
  </si>
  <si>
    <t>26-11-2023</t>
  </si>
  <si>
    <t>S1034</t>
  </si>
  <si>
    <t>Sarah Garcia</t>
  </si>
  <si>
    <t>Sales Coordinator</t>
  </si>
  <si>
    <t>17-06-2023</t>
  </si>
  <si>
    <t>S1035</t>
  </si>
  <si>
    <t>Matthew Hernandez</t>
  </si>
  <si>
    <t>Junior IT Specialist</t>
  </si>
  <si>
    <t>20-09-2023</t>
  </si>
  <si>
    <t>S1036</t>
  </si>
  <si>
    <t>Emily Rodriguez</t>
  </si>
  <si>
    <t>Operations Assistant</t>
  </si>
  <si>
    <t>03-12-2023</t>
  </si>
  <si>
    <t>S1037</t>
  </si>
  <si>
    <t>Daniel Davis</t>
  </si>
  <si>
    <t>Customer Service Associate</t>
  </si>
  <si>
    <t>06-04-2023</t>
  </si>
  <si>
    <t>S1038</t>
  </si>
  <si>
    <t>Jennifer Smith</t>
  </si>
  <si>
    <t>R&amp;D Assistant</t>
  </si>
  <si>
    <t>30-07-2023</t>
  </si>
  <si>
    <t>S1039</t>
  </si>
  <si>
    <t>Production Assistant</t>
  </si>
  <si>
    <t>25-10-2023</t>
  </si>
  <si>
    <t>S1040</t>
  </si>
  <si>
    <t>QA Assistant</t>
  </si>
  <si>
    <t>20-03-2023</t>
  </si>
  <si>
    <t>Total salary</t>
  </si>
  <si>
    <t>Average of the salary</t>
  </si>
  <si>
    <t>Minimum of the Salary</t>
  </si>
  <si>
    <t>Maximum of the salary</t>
  </si>
  <si>
    <t>No of the counts</t>
  </si>
  <si>
    <t>OBSERVATIONS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</si>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</sst>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9"/>
    </xf>
    <xf numFmtId="0" fontId="0" fillId="0" borderId="0" xfId="0" applyNumberFormat="1" applyAlignment="1">
      <alignment horizontal="left" indent="12"/>
    </xf>
    <xf numFmtId="0" fontId="0" fillId="0" borderId="0" xfId="0" applyAlignment="1">
      <alignment horizontal="left" indent="12"/>
    </xf>
    <xf numFmtId="0" fontId="2" fillId="2" borderId="0" xfId="0" applyFont="1" applyFill="1" applyAlignment="1">
      <alignment horizontal="left" indent="1"/>
    </xf>
    <xf numFmtId="0" fontId="0" fillId="0" borderId="1" xfId="0" applyBorder="1"/>
    <xf numFmtId="0" fontId="2" fillId="3" borderId="1" xfId="0" applyFont="1" applyFill="1" applyBorder="1"/>
    <xf numFmtId="0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AAD6-8546-4FB5-97E5-D55319C67A09}">
  <sheetPr codeName="Sheet2"/>
  <dimension ref="A1:J73"/>
  <sheetViews>
    <sheetView tabSelected="1" topLeftCell="E1" workbookViewId="0">
      <selection activeCell="H5" sqref="H5:I10"/>
    </sheetView>
  </sheetViews>
  <sheetFormatPr defaultRowHeight="14.4" x14ac:dyDescent="0.3"/>
  <cols>
    <col min="1" max="1" width="12.33203125" bestFit="1" customWidth="1"/>
    <col min="2" max="2" width="19.88671875" bestFit="1" customWidth="1"/>
    <col min="3" max="3" width="24.21875" bestFit="1" customWidth="1"/>
    <col min="4" max="4" width="34.5546875" bestFit="1" customWidth="1"/>
    <col min="5" max="5" width="11.33203125" bestFit="1" customWidth="1"/>
    <col min="6" max="7" width="18.6640625" bestFit="1" customWidth="1"/>
    <col min="8" max="8" width="18.88671875" bestFit="1" customWidth="1"/>
    <col min="9" max="9" width="8" bestFit="1" customWidth="1"/>
    <col min="10" max="10" width="18.88671875" bestFit="1" customWidth="1"/>
    <col min="11" max="11" width="8" bestFit="1" customWidth="1"/>
  </cols>
  <sheetData>
    <row r="1" spans="1:9" ht="19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60000</v>
      </c>
    </row>
    <row r="3" spans="1:9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3">
        <v>50000</v>
      </c>
    </row>
    <row r="4" spans="1:9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3">
        <v>55000</v>
      </c>
    </row>
    <row r="5" spans="1:9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3">
        <v>48000</v>
      </c>
      <c r="H5" s="7" t="s">
        <v>178</v>
      </c>
      <c r="I5" s="7" t="s">
        <v>179</v>
      </c>
    </row>
    <row r="6" spans="1:9" x14ac:dyDescent="0.3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3">
        <v>60000</v>
      </c>
      <c r="H6" s="6" t="s">
        <v>173</v>
      </c>
      <c r="I6" s="8">
        <f>SUM(F2:F42)</f>
        <v>2206000</v>
      </c>
    </row>
    <row r="7" spans="1:9" x14ac:dyDescent="0.3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3">
        <v>65000</v>
      </c>
      <c r="H7" s="6" t="s">
        <v>174</v>
      </c>
      <c r="I7" s="6">
        <f>AVERAGE(F2:F41)</f>
        <v>55150</v>
      </c>
    </row>
    <row r="8" spans="1:9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3">
        <v>45000</v>
      </c>
      <c r="H8" s="6" t="s">
        <v>175</v>
      </c>
      <c r="I8" s="6">
        <f>MIN(F2:F41)</f>
        <v>40000</v>
      </c>
    </row>
    <row r="9" spans="1:9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3">
        <v>58000</v>
      </c>
      <c r="H9" s="6" t="s">
        <v>176</v>
      </c>
      <c r="I9" s="6">
        <f>MAX(F2:F41)</f>
        <v>75000</v>
      </c>
    </row>
    <row r="10" spans="1:9" x14ac:dyDescent="0.3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3">
        <v>52000</v>
      </c>
      <c r="H10" s="6" t="s">
        <v>177</v>
      </c>
      <c r="I10" s="6">
        <f>COUNT(F2:F41)</f>
        <v>40</v>
      </c>
    </row>
    <row r="11" spans="1:9" x14ac:dyDescent="0.3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3">
        <v>56000</v>
      </c>
    </row>
    <row r="12" spans="1:9" x14ac:dyDescent="0.3">
      <c r="A12" s="1" t="s">
        <v>56</v>
      </c>
      <c r="B12" s="1" t="s">
        <v>57</v>
      </c>
      <c r="C12" s="1" t="s">
        <v>8</v>
      </c>
      <c r="D12" s="1" t="s">
        <v>58</v>
      </c>
      <c r="E12" s="1" t="s">
        <v>59</v>
      </c>
      <c r="F12" s="4">
        <v>48000</v>
      </c>
    </row>
    <row r="13" spans="1:9" x14ac:dyDescent="0.3">
      <c r="A13" s="1" t="s">
        <v>60</v>
      </c>
      <c r="B13" s="1" t="s">
        <v>61</v>
      </c>
      <c r="C13" s="1" t="s">
        <v>13</v>
      </c>
      <c r="D13" s="1" t="s">
        <v>62</v>
      </c>
      <c r="E13" s="1" t="s">
        <v>63</v>
      </c>
      <c r="F13" s="3">
        <v>65000</v>
      </c>
    </row>
    <row r="14" spans="1:9" x14ac:dyDescent="0.3">
      <c r="A14" s="1" t="s">
        <v>64</v>
      </c>
      <c r="B14" s="1" t="s">
        <v>65</v>
      </c>
      <c r="C14" s="1" t="s">
        <v>18</v>
      </c>
      <c r="D14" s="1" t="s">
        <v>66</v>
      </c>
      <c r="E14" s="1" t="s">
        <v>67</v>
      </c>
      <c r="F14" s="3">
        <v>70000</v>
      </c>
    </row>
    <row r="15" spans="1:9" x14ac:dyDescent="0.3">
      <c r="A15" s="1" t="s">
        <v>68</v>
      </c>
      <c r="B15" s="1" t="s">
        <v>69</v>
      </c>
      <c r="C15" s="1" t="s">
        <v>23</v>
      </c>
      <c r="D15" s="1" t="s">
        <v>70</v>
      </c>
      <c r="E15" s="1" t="s">
        <v>71</v>
      </c>
      <c r="F15" s="3">
        <v>72000</v>
      </c>
    </row>
    <row r="16" spans="1:9" x14ac:dyDescent="0.3">
      <c r="A16" s="1" t="s">
        <v>72</v>
      </c>
      <c r="B16" s="1" t="s">
        <v>73</v>
      </c>
      <c r="C16" s="1" t="s">
        <v>28</v>
      </c>
      <c r="D16" s="1" t="s">
        <v>74</v>
      </c>
      <c r="E16" s="1" t="s">
        <v>75</v>
      </c>
      <c r="F16" s="3">
        <v>75000</v>
      </c>
    </row>
    <row r="17" spans="1:6" x14ac:dyDescent="0.3">
      <c r="A17" s="1" t="s">
        <v>76</v>
      </c>
      <c r="B17" s="1" t="s">
        <v>77</v>
      </c>
      <c r="C17" s="1" t="s">
        <v>33</v>
      </c>
      <c r="D17" s="1" t="s">
        <v>78</v>
      </c>
      <c r="E17" s="1" t="s">
        <v>79</v>
      </c>
      <c r="F17" s="3">
        <v>48000</v>
      </c>
    </row>
    <row r="18" spans="1:6" x14ac:dyDescent="0.3">
      <c r="A18" s="1" t="s">
        <v>80</v>
      </c>
      <c r="B18" s="1" t="s">
        <v>81</v>
      </c>
      <c r="C18" s="1" t="s">
        <v>38</v>
      </c>
      <c r="D18" s="1" t="s">
        <v>82</v>
      </c>
      <c r="E18" s="1" t="s">
        <v>83</v>
      </c>
      <c r="F18" s="3">
        <v>68000</v>
      </c>
    </row>
    <row r="19" spans="1:6" x14ac:dyDescent="0.3">
      <c r="A19" s="1" t="s">
        <v>84</v>
      </c>
      <c r="B19" s="1" t="s">
        <v>85</v>
      </c>
      <c r="C19" s="1" t="s">
        <v>43</v>
      </c>
      <c r="D19" s="1" t="s">
        <v>86</v>
      </c>
      <c r="E19" s="1" t="s">
        <v>87</v>
      </c>
      <c r="F19" s="3">
        <v>70000</v>
      </c>
    </row>
    <row r="20" spans="1:6" x14ac:dyDescent="0.3">
      <c r="A20" s="1" t="s">
        <v>88</v>
      </c>
      <c r="B20" s="1" t="s">
        <v>89</v>
      </c>
      <c r="C20" s="1" t="s">
        <v>48</v>
      </c>
      <c r="D20" s="1" t="s">
        <v>90</v>
      </c>
      <c r="E20" s="1" t="s">
        <v>91</v>
      </c>
      <c r="F20" s="3">
        <v>72000</v>
      </c>
    </row>
    <row r="21" spans="1:6" x14ac:dyDescent="0.3">
      <c r="A21" s="1" t="s">
        <v>92</v>
      </c>
      <c r="B21" s="1" t="s">
        <v>93</v>
      </c>
      <c r="C21" s="1" t="s">
        <v>53</v>
      </c>
      <c r="D21" s="1" t="s">
        <v>94</v>
      </c>
      <c r="E21" s="1" t="s">
        <v>95</v>
      </c>
      <c r="F21" s="3">
        <v>75000</v>
      </c>
    </row>
    <row r="22" spans="1:6" x14ac:dyDescent="0.3">
      <c r="A22" s="1" t="s">
        <v>96</v>
      </c>
      <c r="B22" s="1" t="s">
        <v>97</v>
      </c>
      <c r="C22" s="1" t="s">
        <v>8</v>
      </c>
      <c r="D22" s="1" t="s">
        <v>98</v>
      </c>
      <c r="E22" s="1" t="s">
        <v>99</v>
      </c>
      <c r="F22" s="3">
        <v>42000</v>
      </c>
    </row>
    <row r="23" spans="1:6" x14ac:dyDescent="0.3">
      <c r="A23" s="1" t="s">
        <v>100</v>
      </c>
      <c r="B23" s="1" t="s">
        <v>101</v>
      </c>
      <c r="C23" s="1" t="s">
        <v>13</v>
      </c>
      <c r="D23" s="1" t="s">
        <v>102</v>
      </c>
      <c r="E23" s="1" t="s">
        <v>103</v>
      </c>
      <c r="F23" s="3">
        <v>48000</v>
      </c>
    </row>
    <row r="24" spans="1:6" x14ac:dyDescent="0.3">
      <c r="A24" s="1" t="s">
        <v>104</v>
      </c>
      <c r="B24" s="1" t="s">
        <v>105</v>
      </c>
      <c r="C24" s="1" t="s">
        <v>18</v>
      </c>
      <c r="D24" s="1" t="s">
        <v>106</v>
      </c>
      <c r="E24" s="1" t="s">
        <v>107</v>
      </c>
      <c r="F24" s="3">
        <v>60000</v>
      </c>
    </row>
    <row r="25" spans="1:6" x14ac:dyDescent="0.3">
      <c r="A25" s="1" t="s">
        <v>108</v>
      </c>
      <c r="B25" s="1" t="s">
        <v>109</v>
      </c>
      <c r="C25" s="1" t="s">
        <v>23</v>
      </c>
      <c r="D25" s="1" t="s">
        <v>110</v>
      </c>
      <c r="E25" s="1" t="s">
        <v>111</v>
      </c>
      <c r="F25" s="3">
        <v>55000</v>
      </c>
    </row>
    <row r="26" spans="1:6" x14ac:dyDescent="0.3">
      <c r="A26" s="1" t="s">
        <v>112</v>
      </c>
      <c r="B26" s="1" t="s">
        <v>27</v>
      </c>
      <c r="C26" s="1" t="s">
        <v>28</v>
      </c>
      <c r="D26" s="1" t="s">
        <v>113</v>
      </c>
      <c r="E26" s="1" t="s">
        <v>114</v>
      </c>
      <c r="F26" s="3">
        <v>70000</v>
      </c>
    </row>
    <row r="27" spans="1:6" x14ac:dyDescent="0.3">
      <c r="A27" s="1" t="s">
        <v>115</v>
      </c>
      <c r="B27" s="1" t="s">
        <v>116</v>
      </c>
      <c r="C27" s="1" t="s">
        <v>33</v>
      </c>
      <c r="D27" s="1" t="s">
        <v>117</v>
      </c>
      <c r="E27" s="1" t="s">
        <v>118</v>
      </c>
      <c r="F27" s="3">
        <v>55000</v>
      </c>
    </row>
    <row r="28" spans="1:6" x14ac:dyDescent="0.3">
      <c r="A28" s="1" t="s">
        <v>119</v>
      </c>
      <c r="B28" s="1" t="s">
        <v>120</v>
      </c>
      <c r="C28" s="1" t="s">
        <v>38</v>
      </c>
      <c r="D28" s="1" t="s">
        <v>121</v>
      </c>
      <c r="E28" s="1" t="s">
        <v>122</v>
      </c>
      <c r="F28" s="3">
        <v>50000</v>
      </c>
    </row>
    <row r="29" spans="1:6" x14ac:dyDescent="0.3">
      <c r="A29" s="1" t="s">
        <v>123</v>
      </c>
      <c r="B29" s="1" t="s">
        <v>124</v>
      </c>
      <c r="C29" s="1" t="s">
        <v>43</v>
      </c>
      <c r="D29" s="1" t="s">
        <v>125</v>
      </c>
      <c r="E29" s="1" t="s">
        <v>126</v>
      </c>
      <c r="F29" s="3">
        <v>48000</v>
      </c>
    </row>
    <row r="30" spans="1:6" x14ac:dyDescent="0.3">
      <c r="A30" s="1" t="s">
        <v>127</v>
      </c>
      <c r="B30" s="1" t="s">
        <v>128</v>
      </c>
      <c r="C30" s="1" t="s">
        <v>48</v>
      </c>
      <c r="D30" s="1" t="s">
        <v>129</v>
      </c>
      <c r="E30" s="1" t="s">
        <v>130</v>
      </c>
      <c r="F30" s="3">
        <v>60000</v>
      </c>
    </row>
    <row r="31" spans="1:6" x14ac:dyDescent="0.3">
      <c r="A31" s="1" t="s">
        <v>131</v>
      </c>
      <c r="B31" s="1" t="s">
        <v>132</v>
      </c>
      <c r="C31" s="1" t="s">
        <v>53</v>
      </c>
      <c r="D31" s="1" t="s">
        <v>133</v>
      </c>
      <c r="E31" s="1" t="s">
        <v>134</v>
      </c>
      <c r="F31" s="3">
        <v>62000</v>
      </c>
    </row>
    <row r="32" spans="1:6" x14ac:dyDescent="0.3">
      <c r="A32" s="1" t="s">
        <v>135</v>
      </c>
      <c r="B32" s="1" t="s">
        <v>136</v>
      </c>
      <c r="C32" s="1" t="s">
        <v>8</v>
      </c>
      <c r="D32" s="1" t="s">
        <v>137</v>
      </c>
      <c r="E32" s="1" t="s">
        <v>138</v>
      </c>
      <c r="F32" s="3">
        <v>50000</v>
      </c>
    </row>
    <row r="33" spans="1:7" x14ac:dyDescent="0.3">
      <c r="A33" s="1" t="s">
        <v>139</v>
      </c>
      <c r="B33" s="1" t="s">
        <v>140</v>
      </c>
      <c r="C33" s="1" t="s">
        <v>13</v>
      </c>
      <c r="D33" s="1" t="s">
        <v>141</v>
      </c>
      <c r="E33" s="1" t="s">
        <v>142</v>
      </c>
      <c r="F33" s="3">
        <v>42000</v>
      </c>
    </row>
    <row r="34" spans="1:7" x14ac:dyDescent="0.3">
      <c r="A34" s="1" t="s">
        <v>143</v>
      </c>
      <c r="B34" s="1" t="s">
        <v>144</v>
      </c>
      <c r="C34" s="1" t="s">
        <v>18</v>
      </c>
      <c r="D34" s="1" t="s">
        <v>145</v>
      </c>
      <c r="E34" s="1" t="s">
        <v>146</v>
      </c>
      <c r="F34" s="3">
        <v>48000</v>
      </c>
    </row>
    <row r="35" spans="1:7" x14ac:dyDescent="0.3">
      <c r="A35" s="1" t="s">
        <v>147</v>
      </c>
      <c r="B35" s="1" t="s">
        <v>148</v>
      </c>
      <c r="C35" s="1" t="s">
        <v>23</v>
      </c>
      <c r="D35" s="1" t="s">
        <v>149</v>
      </c>
      <c r="E35" s="1" t="s">
        <v>150</v>
      </c>
      <c r="F35" s="3">
        <v>50000</v>
      </c>
    </row>
    <row r="36" spans="1:7" x14ac:dyDescent="0.3">
      <c r="A36" s="1" t="s">
        <v>151</v>
      </c>
      <c r="B36" s="1" t="s">
        <v>152</v>
      </c>
      <c r="C36" s="1" t="s">
        <v>28</v>
      </c>
      <c r="D36" s="1" t="s">
        <v>153</v>
      </c>
      <c r="E36" s="1" t="s">
        <v>154</v>
      </c>
      <c r="F36" s="3">
        <v>48000</v>
      </c>
    </row>
    <row r="37" spans="1:7" x14ac:dyDescent="0.3">
      <c r="A37" s="1" t="s">
        <v>155</v>
      </c>
      <c r="B37" s="1" t="s">
        <v>156</v>
      </c>
      <c r="C37" s="1" t="s">
        <v>33</v>
      </c>
      <c r="D37" s="1" t="s">
        <v>157</v>
      </c>
      <c r="E37" s="1" t="s">
        <v>158</v>
      </c>
      <c r="F37" s="3">
        <v>42000</v>
      </c>
    </row>
    <row r="38" spans="1:7" x14ac:dyDescent="0.3">
      <c r="A38" s="1" t="s">
        <v>159</v>
      </c>
      <c r="B38" s="1" t="s">
        <v>160</v>
      </c>
      <c r="C38" s="1" t="s">
        <v>38</v>
      </c>
      <c r="D38" s="1" t="s">
        <v>161</v>
      </c>
      <c r="E38" s="1" t="s">
        <v>162</v>
      </c>
      <c r="F38" s="3">
        <v>40000</v>
      </c>
    </row>
    <row r="39" spans="1:7" x14ac:dyDescent="0.3">
      <c r="A39" s="1" t="s">
        <v>163</v>
      </c>
      <c r="B39" s="1" t="s">
        <v>164</v>
      </c>
      <c r="C39" s="1" t="s">
        <v>43</v>
      </c>
      <c r="D39" s="1" t="s">
        <v>165</v>
      </c>
      <c r="E39" s="1" t="s">
        <v>166</v>
      </c>
      <c r="F39" s="3">
        <v>42000</v>
      </c>
    </row>
    <row r="40" spans="1:7" x14ac:dyDescent="0.3">
      <c r="A40" s="1" t="s">
        <v>167</v>
      </c>
      <c r="B40" s="1" t="s">
        <v>17</v>
      </c>
      <c r="C40" s="1" t="s">
        <v>48</v>
      </c>
      <c r="D40" s="1" t="s">
        <v>168</v>
      </c>
      <c r="E40" s="1" t="s">
        <v>169</v>
      </c>
      <c r="F40" s="3">
        <v>40000</v>
      </c>
    </row>
    <row r="41" spans="1:7" x14ac:dyDescent="0.3">
      <c r="A41" s="1" t="s">
        <v>170</v>
      </c>
      <c r="B41" s="1" t="s">
        <v>109</v>
      </c>
      <c r="C41" s="1" t="s">
        <v>53</v>
      </c>
      <c r="D41" s="1" t="s">
        <v>171</v>
      </c>
      <c r="E41" s="1" t="s">
        <v>172</v>
      </c>
      <c r="F41" s="3">
        <v>42000</v>
      </c>
    </row>
    <row r="42" spans="1:7" x14ac:dyDescent="0.3">
      <c r="A42" s="1"/>
      <c r="B42" s="1"/>
      <c r="C42" s="1"/>
      <c r="D42" s="1"/>
      <c r="E42" s="1"/>
      <c r="F42" s="2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10" x14ac:dyDescent="0.3">
      <c r="A49" s="1"/>
      <c r="B49" s="1"/>
      <c r="C49" s="1"/>
      <c r="D49" s="1"/>
      <c r="E49" s="1"/>
      <c r="F49" s="1"/>
      <c r="G49" s="1"/>
    </row>
    <row r="50" spans="1:10" x14ac:dyDescent="0.3">
      <c r="A50" s="1"/>
      <c r="B50" s="1"/>
      <c r="C50" s="1"/>
      <c r="D50" s="1"/>
      <c r="E50" s="1"/>
      <c r="F50" s="1"/>
      <c r="G50" s="1"/>
    </row>
    <row r="51" spans="1:10" x14ac:dyDescent="0.3">
      <c r="A51" s="1"/>
      <c r="B51" s="1"/>
      <c r="C51" s="1"/>
      <c r="D51" s="1"/>
      <c r="E51" s="1"/>
      <c r="F51" s="1"/>
      <c r="G51" s="1"/>
    </row>
    <row r="61" spans="1:10" x14ac:dyDescent="0.3">
      <c r="D61" s="1"/>
      <c r="E61" s="1"/>
      <c r="F61" s="1"/>
      <c r="G61" s="1"/>
      <c r="H61" s="1"/>
      <c r="I61" s="1"/>
      <c r="J61" s="1"/>
    </row>
    <row r="62" spans="1:10" x14ac:dyDescent="0.3">
      <c r="D62" s="1"/>
      <c r="E62" s="1"/>
      <c r="F62" s="1"/>
      <c r="G62" s="1"/>
      <c r="H62" s="1"/>
      <c r="I62" s="1"/>
      <c r="J62" s="1"/>
    </row>
    <row r="63" spans="1:10" x14ac:dyDescent="0.3">
      <c r="D63" s="1"/>
      <c r="E63" s="1"/>
      <c r="F63" s="1"/>
      <c r="G63" s="1"/>
      <c r="H63" s="1"/>
      <c r="I63" s="1"/>
      <c r="J63" s="1"/>
    </row>
    <row r="64" spans="1:10" x14ac:dyDescent="0.3">
      <c r="D64" s="1"/>
      <c r="E64" s="1"/>
      <c r="F64" s="1"/>
      <c r="G64" s="1"/>
      <c r="H64" s="1"/>
      <c r="I64" s="1"/>
      <c r="J64" s="1"/>
    </row>
    <row r="65" spans="4:10" x14ac:dyDescent="0.3">
      <c r="D65" s="1"/>
      <c r="E65" s="1"/>
      <c r="F65" s="1"/>
      <c r="G65" s="1"/>
      <c r="H65" s="1"/>
      <c r="I65" s="1"/>
      <c r="J65" s="1"/>
    </row>
    <row r="66" spans="4:10" x14ac:dyDescent="0.3">
      <c r="D66" s="1"/>
      <c r="E66" s="1"/>
      <c r="F66" s="1"/>
      <c r="G66" s="1"/>
      <c r="H66" s="1"/>
      <c r="I66" s="1"/>
      <c r="J66" s="1"/>
    </row>
    <row r="67" spans="4:10" x14ac:dyDescent="0.3">
      <c r="D67" s="1"/>
      <c r="E67" s="1"/>
      <c r="F67" s="1"/>
      <c r="G67" s="1"/>
      <c r="H67" s="1"/>
      <c r="I67" s="1"/>
      <c r="J67" s="1"/>
    </row>
    <row r="68" spans="4:10" x14ac:dyDescent="0.3">
      <c r="D68" s="1"/>
      <c r="E68" s="1"/>
      <c r="F68" s="1"/>
      <c r="G68" s="1"/>
      <c r="H68" s="1"/>
      <c r="I68" s="1"/>
      <c r="J68" s="1"/>
    </row>
    <row r="69" spans="4:10" x14ac:dyDescent="0.3">
      <c r="D69" s="1"/>
      <c r="E69" s="1"/>
      <c r="F69" s="1"/>
      <c r="G69" s="1"/>
      <c r="H69" s="1"/>
      <c r="I69" s="1"/>
      <c r="J69" s="1"/>
    </row>
    <row r="70" spans="4:10" x14ac:dyDescent="0.3">
      <c r="D70" s="1"/>
      <c r="E70" s="1"/>
      <c r="F70" s="1"/>
      <c r="G70" s="1"/>
      <c r="H70" s="1"/>
      <c r="I70" s="1"/>
      <c r="J70" s="1"/>
    </row>
    <row r="71" spans="4:10" x14ac:dyDescent="0.3">
      <c r="D71" s="1"/>
      <c r="E71" s="1"/>
      <c r="F71" s="1"/>
      <c r="G71" s="1"/>
      <c r="H71" s="1"/>
      <c r="I71" s="1"/>
      <c r="J71" s="1"/>
    </row>
    <row r="72" spans="4:10" x14ac:dyDescent="0.3">
      <c r="D72" s="1"/>
      <c r="E72" s="1"/>
      <c r="F72" s="1"/>
      <c r="G72" s="1"/>
      <c r="H72" s="1"/>
      <c r="I72" s="1"/>
      <c r="J72" s="1"/>
    </row>
    <row r="73" spans="4:10" x14ac:dyDescent="0.3">
      <c r="D73" s="1"/>
      <c r="E73" s="1"/>
      <c r="F73" s="1"/>
      <c r="G73" s="1"/>
      <c r="H73" s="1"/>
      <c r="I73" s="1"/>
      <c r="J7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CA25CB-134B-48AE-8F35-33D6A3A0C0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rajevijayaeee@gmail.com</dc:creator>
  <cp:lastModifiedBy>rajevijayaeee@gmail.com</cp:lastModifiedBy>
  <dcterms:created xsi:type="dcterms:W3CDTF">2025-11-26T12:41:00Z</dcterms:created>
  <dcterms:modified xsi:type="dcterms:W3CDTF">2025-11-26T13:21:42Z</dcterms:modified>
</cp:coreProperties>
</file>